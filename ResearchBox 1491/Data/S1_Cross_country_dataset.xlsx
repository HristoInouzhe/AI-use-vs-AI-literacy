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\Dropbox\Working Papers\Chiara and Steph - Algo scale\ALTeam Shared folder\AILT\JM Submission\Round_3\Consolidated studies for RB\S1_Cross Country Data\"/>
    </mc:Choice>
  </mc:AlternateContent>
  <xr:revisionPtr revIDLastSave="0" documentId="13_ncr:1_{8EC5AF77-7655-4950-BB7A-926B9855066E}" xr6:coauthVersionLast="47" xr6:coauthVersionMax="47" xr10:uidLastSave="{00000000-0000-0000-0000-000000000000}"/>
  <bookViews>
    <workbookView xWindow="-120" yWindow="-120" windowWidth="29040" windowHeight="17640" xr2:uid="{AC72ECB3-3769-4457-AB2C-3466D41FBE06}"/>
  </bookViews>
  <sheets>
    <sheet name="Sheet1" sheetId="1" r:id="rId1"/>
  </sheets>
  <definedNames>
    <definedName name="_xlnm._FilterDatabase" localSheetId="0" hidden="1">Sheet1!$A$1:$P$28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10" i="1"/>
  <c r="C2" i="1"/>
  <c r="C24" i="1"/>
  <c r="C7" i="1"/>
  <c r="C21" i="1"/>
  <c r="C25" i="1"/>
  <c r="C9" i="1"/>
  <c r="C6" i="1"/>
  <c r="C11" i="1"/>
  <c r="C27" i="1"/>
  <c r="C3" i="1"/>
  <c r="C4" i="1"/>
  <c r="C12" i="1"/>
  <c r="C13" i="1"/>
  <c r="C19" i="1"/>
  <c r="C5" i="1"/>
  <c r="C16" i="1"/>
  <c r="C23" i="1"/>
  <c r="C17" i="1"/>
  <c r="C18" i="1"/>
  <c r="C20" i="1"/>
  <c r="C28" i="1"/>
  <c r="C14" i="1"/>
  <c r="C8" i="1"/>
  <c r="C22" i="1"/>
  <c r="C15" i="1"/>
</calcChain>
</file>

<file path=xl/sharedStrings.xml><?xml version="1.0" encoding="utf-8"?>
<sst xmlns="http://schemas.openxmlformats.org/spreadsheetml/2006/main" count="43" uniqueCount="43">
  <si>
    <t>China</t>
  </si>
  <si>
    <t>Canada</t>
  </si>
  <si>
    <t>The Netherlands</t>
  </si>
  <si>
    <t>Germany</t>
  </si>
  <si>
    <t>France</t>
  </si>
  <si>
    <t>Australia</t>
  </si>
  <si>
    <t>Japan</t>
  </si>
  <si>
    <t>India</t>
  </si>
  <si>
    <t>Sweden</t>
  </si>
  <si>
    <t>Spain</t>
  </si>
  <si>
    <t>Saudi Arabia</t>
  </si>
  <si>
    <t>Belgium</t>
  </si>
  <si>
    <t>Poland</t>
  </si>
  <si>
    <t>Italy</t>
  </si>
  <si>
    <t>Russia</t>
  </si>
  <si>
    <t>Brazil</t>
  </si>
  <si>
    <t>Hungary</t>
  </si>
  <si>
    <t>Malaysia</t>
  </si>
  <si>
    <t>Mexico</t>
  </si>
  <si>
    <t>Chile</t>
  </si>
  <si>
    <t>Argentina</t>
  </si>
  <si>
    <t>Turkey</t>
  </si>
  <si>
    <t>South Africa</t>
  </si>
  <si>
    <t>US</t>
  </si>
  <si>
    <t>UK</t>
  </si>
  <si>
    <t>Will change my life</t>
  </si>
  <si>
    <t>Make life easier</t>
  </si>
  <si>
    <t>trust companies with AI</t>
  </si>
  <si>
    <t>Country</t>
  </si>
  <si>
    <t>AI Literacy</t>
  </si>
  <si>
    <t>South Korea</t>
  </si>
  <si>
    <t>Colombia</t>
  </si>
  <si>
    <t>AI Receptivity</t>
  </si>
  <si>
    <t xml:space="preserve">Human Development Index </t>
  </si>
  <si>
    <t>Life Expectancy</t>
  </si>
  <si>
    <t>Income</t>
  </si>
  <si>
    <t>Benefits</t>
  </si>
  <si>
    <t>eys_2021</t>
  </si>
  <si>
    <t>mys_2021</t>
  </si>
  <si>
    <t>Education</t>
  </si>
  <si>
    <t>Population_Growth</t>
  </si>
  <si>
    <t>GDP_growth_rate</t>
  </si>
  <si>
    <t>GDP_per_capita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</si>
</sst>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787DC-E4CF-491B-95B0-74E3EC1C9632}">
  <dimension ref="A1:P28"/>
  <sheetViews>
    <sheetView tabSelected="1" workbookViewId="0">
      <selection activeCell="H3" sqref="H3"/>
    </sheetView>
  </sheetViews>
  <sheetFormatPr defaultColWidth="8.85546875" defaultRowHeight="15" x14ac:dyDescent="0.25"/>
  <cols>
    <col min="1" max="1" width="15.85546875" customWidth="1"/>
    <col min="10" max="10" width="21.5703125" customWidth="1"/>
    <col min="11" max="11" width="15.42578125" customWidth="1"/>
    <col min="12" max="12" width="21.42578125" customWidth="1"/>
    <col min="13" max="13" width="22.85546875" customWidth="1"/>
  </cols>
  <sheetData>
    <row r="1" spans="1:16" ht="47.25" x14ac:dyDescent="0.25">
      <c r="A1" t="s">
        <v>28</v>
      </c>
      <c r="B1" t="s">
        <v>29</v>
      </c>
      <c r="C1" t="s">
        <v>32</v>
      </c>
      <c r="D1" s="2" t="s">
        <v>33</v>
      </c>
      <c r="E1" s="3" t="s">
        <v>34</v>
      </c>
      <c r="F1" t="s">
        <v>37</v>
      </c>
      <c r="G1" t="s">
        <v>38</v>
      </c>
      <c r="H1" t="s">
        <v>39</v>
      </c>
      <c r="I1" s="3" t="s">
        <v>35</v>
      </c>
      <c r="J1" t="s">
        <v>25</v>
      </c>
      <c r="K1" t="s">
        <v>26</v>
      </c>
      <c r="L1" s="1" t="s">
        <v>36</v>
      </c>
      <c r="M1" t="s">
        <v>27</v>
      </c>
      <c r="N1" t="s">
        <v>42</v>
      </c>
      <c r="O1" t="s">
        <v>41</v>
      </c>
      <c r="P1" t="s">
        <v>40</v>
      </c>
    </row>
    <row r="2" spans="1:16" x14ac:dyDescent="0.25">
      <c r="A2" t="s">
        <v>2</v>
      </c>
      <c r="B2">
        <v>33.83</v>
      </c>
      <c r="C2">
        <f t="shared" ref="C2:C28" si="0">AVERAGE(J2,K2,L2,M2)</f>
        <v>42.75</v>
      </c>
      <c r="D2">
        <v>0.94099999999999995</v>
      </c>
      <c r="E2">
        <v>81.687299999999993</v>
      </c>
      <c r="F2">
        <v>18.693165220000001</v>
      </c>
      <c r="G2">
        <v>12.581629749999999</v>
      </c>
      <c r="H2">
        <v>15.637397485000001</v>
      </c>
      <c r="I2">
        <v>55979.411</v>
      </c>
      <c r="J2">
        <v>53</v>
      </c>
      <c r="K2">
        <v>47</v>
      </c>
      <c r="L2">
        <v>33</v>
      </c>
      <c r="M2">
        <v>38</v>
      </c>
      <c r="N2">
        <v>67693.326431130205</v>
      </c>
      <c r="O2">
        <v>6.1918571042711603</v>
      </c>
      <c r="P2">
        <v>0.52349050816875697</v>
      </c>
    </row>
    <row r="3" spans="1:16" x14ac:dyDescent="0.25">
      <c r="A3" t="s">
        <v>11</v>
      </c>
      <c r="B3">
        <v>15.17</v>
      </c>
      <c r="C3">
        <f t="shared" si="0"/>
        <v>44.75</v>
      </c>
      <c r="D3">
        <v>0.93700000000000006</v>
      </c>
      <c r="E3">
        <v>81.878699999999995</v>
      </c>
      <c r="F3">
        <v>19.604219440000001</v>
      </c>
      <c r="G3">
        <v>12.37567997</v>
      </c>
      <c r="H3">
        <v>15.989949705000001</v>
      </c>
      <c r="I3">
        <v>52293.399770000004</v>
      </c>
      <c r="J3">
        <v>52</v>
      </c>
      <c r="K3">
        <v>49</v>
      </c>
      <c r="L3">
        <v>38</v>
      </c>
      <c r="M3">
        <v>40</v>
      </c>
      <c r="N3">
        <v>62123.1613172906</v>
      </c>
      <c r="O3">
        <v>6.9279836028761297</v>
      </c>
      <c r="P3">
        <v>0.41160199653225699</v>
      </c>
    </row>
    <row r="4" spans="1:16" x14ac:dyDescent="0.25">
      <c r="A4" t="s">
        <v>12</v>
      </c>
      <c r="B4">
        <v>14.21</v>
      </c>
      <c r="C4">
        <f t="shared" si="0"/>
        <v>53.25</v>
      </c>
      <c r="D4">
        <v>0.876</v>
      </c>
      <c r="E4">
        <v>76.4572</v>
      </c>
      <c r="F4">
        <v>16.0271492</v>
      </c>
      <c r="G4">
        <v>13.164750099999999</v>
      </c>
      <c r="H4">
        <v>14.59594965</v>
      </c>
      <c r="I4">
        <v>33033.960809999997</v>
      </c>
      <c r="J4">
        <v>56</v>
      </c>
      <c r="K4">
        <v>58</v>
      </c>
      <c r="L4">
        <v>48</v>
      </c>
      <c r="M4">
        <v>51</v>
      </c>
      <c r="N4">
        <v>40462.688712212599</v>
      </c>
      <c r="O4">
        <v>6.9349803838706503</v>
      </c>
      <c r="P4">
        <v>-0.40172861664245502</v>
      </c>
    </row>
    <row r="5" spans="1:16" x14ac:dyDescent="0.25">
      <c r="A5" t="s">
        <v>16</v>
      </c>
      <c r="B5">
        <v>10.34</v>
      </c>
      <c r="C5">
        <f t="shared" si="0"/>
        <v>50.5</v>
      </c>
      <c r="D5">
        <v>0.84599999999999997</v>
      </c>
      <c r="E5">
        <v>74.530100000000004</v>
      </c>
      <c r="F5">
        <v>15.0336281</v>
      </c>
      <c r="G5">
        <v>12.24958992</v>
      </c>
      <c r="H5">
        <v>13.64160901</v>
      </c>
      <c r="I5">
        <v>32789.010629999997</v>
      </c>
      <c r="J5">
        <v>55</v>
      </c>
      <c r="K5">
        <v>50</v>
      </c>
      <c r="L5">
        <v>49</v>
      </c>
      <c r="M5">
        <v>48</v>
      </c>
      <c r="N5">
        <v>38647.998084709703</v>
      </c>
      <c r="O5">
        <v>7.0612206097291201</v>
      </c>
      <c r="P5">
        <v>-0.41375102447215301</v>
      </c>
    </row>
    <row r="6" spans="1:16" x14ac:dyDescent="0.25">
      <c r="A6" t="s">
        <v>8</v>
      </c>
      <c r="B6">
        <v>28.21</v>
      </c>
      <c r="C6">
        <f t="shared" si="0"/>
        <v>43.75</v>
      </c>
      <c r="D6">
        <v>0.94699999999999995</v>
      </c>
      <c r="E6">
        <v>82.9833</v>
      </c>
      <c r="F6">
        <v>19.418529509999999</v>
      </c>
      <c r="G6">
        <v>12.609720230000001</v>
      </c>
      <c r="H6">
        <v>16.01412487</v>
      </c>
      <c r="I6">
        <v>54489.37401</v>
      </c>
      <c r="J6">
        <v>50</v>
      </c>
      <c r="K6">
        <v>46</v>
      </c>
      <c r="L6">
        <v>40</v>
      </c>
      <c r="M6">
        <v>39</v>
      </c>
      <c r="N6">
        <v>63375.0446462412</v>
      </c>
      <c r="O6">
        <v>6.1470246470801904</v>
      </c>
      <c r="P6">
        <v>0.60059153283946798</v>
      </c>
    </row>
    <row r="7" spans="1:16" x14ac:dyDescent="0.25">
      <c r="A7" t="s">
        <v>4</v>
      </c>
      <c r="B7">
        <v>28.32</v>
      </c>
      <c r="C7">
        <f t="shared" si="0"/>
        <v>37.25</v>
      </c>
      <c r="D7">
        <v>0.90300000000000002</v>
      </c>
      <c r="E7">
        <v>82.498800000000003</v>
      </c>
      <c r="F7">
        <v>15.81206989</v>
      </c>
      <c r="G7">
        <v>11.610059740000001</v>
      </c>
      <c r="H7">
        <v>13.711064815</v>
      </c>
      <c r="I7">
        <v>45937.052730000003</v>
      </c>
      <c r="J7">
        <v>45</v>
      </c>
      <c r="K7">
        <v>39</v>
      </c>
      <c r="L7">
        <v>31</v>
      </c>
      <c r="M7">
        <v>34</v>
      </c>
      <c r="N7">
        <v>53834.799297101701</v>
      </c>
      <c r="O7">
        <v>6.4352096210493803</v>
      </c>
      <c r="P7">
        <v>0.28550861863843402</v>
      </c>
    </row>
    <row r="8" spans="1:16" x14ac:dyDescent="0.25">
      <c r="A8" t="s">
        <v>24</v>
      </c>
      <c r="B8">
        <v>39.65</v>
      </c>
      <c r="C8">
        <f t="shared" si="0"/>
        <v>41</v>
      </c>
      <c r="D8">
        <v>0.92900000000000005</v>
      </c>
      <c r="E8">
        <v>80.742199999999997</v>
      </c>
      <c r="F8">
        <v>17.309719090000002</v>
      </c>
      <c r="G8">
        <v>13.4061203</v>
      </c>
      <c r="H8">
        <v>15.357919695</v>
      </c>
      <c r="I8">
        <v>45224.765639999998</v>
      </c>
      <c r="J8">
        <v>46</v>
      </c>
      <c r="K8">
        <v>45</v>
      </c>
      <c r="L8">
        <v>38</v>
      </c>
      <c r="M8">
        <v>35</v>
      </c>
      <c r="N8">
        <v>52841.634585047403</v>
      </c>
      <c r="O8">
        <v>8.6749041144257308</v>
      </c>
      <c r="P8">
        <v>-8.1937240530206498E-2</v>
      </c>
    </row>
    <row r="9" spans="1:16" x14ac:dyDescent="0.25">
      <c r="A9" t="s">
        <v>7</v>
      </c>
      <c r="B9">
        <v>45.27</v>
      </c>
      <c r="C9">
        <f t="shared" si="0"/>
        <v>71.25</v>
      </c>
      <c r="D9">
        <v>0.63300000000000001</v>
      </c>
      <c r="E9">
        <v>67.239800000000002</v>
      </c>
      <c r="F9">
        <v>11.874620439999999</v>
      </c>
      <c r="G9">
        <v>6.6551091949999996</v>
      </c>
      <c r="H9">
        <v>9.2648648174999995</v>
      </c>
      <c r="I9">
        <v>6589.9800370000003</v>
      </c>
      <c r="J9">
        <v>74</v>
      </c>
      <c r="K9">
        <v>72</v>
      </c>
      <c r="L9">
        <v>71</v>
      </c>
      <c r="M9">
        <v>68</v>
      </c>
      <c r="N9">
        <v>8087.9938026768996</v>
      </c>
      <c r="O9">
        <v>9.6895924919121104</v>
      </c>
      <c r="P9">
        <v>0.79721609389812598</v>
      </c>
    </row>
    <row r="10" spans="1:16" x14ac:dyDescent="0.25">
      <c r="A10" t="s">
        <v>30</v>
      </c>
      <c r="B10">
        <v>14.54</v>
      </c>
      <c r="C10">
        <f t="shared" si="0"/>
        <v>64.5</v>
      </c>
      <c r="D10">
        <v>0.92500000000000004</v>
      </c>
      <c r="E10">
        <v>83.697800000000001</v>
      </c>
      <c r="F10">
        <v>16.521739960000001</v>
      </c>
      <c r="G10">
        <v>12.51293027</v>
      </c>
      <c r="H10">
        <v>14.517335115000002</v>
      </c>
      <c r="I10">
        <v>44500.93187</v>
      </c>
      <c r="J10">
        <v>76</v>
      </c>
      <c r="K10">
        <v>74</v>
      </c>
      <c r="L10">
        <v>62</v>
      </c>
      <c r="M10">
        <v>46</v>
      </c>
      <c r="N10">
        <v>48571.432209642699</v>
      </c>
      <c r="O10">
        <v>4.3047348190696901</v>
      </c>
      <c r="P10">
        <v>-0.128757315474928</v>
      </c>
    </row>
    <row r="11" spans="1:16" x14ac:dyDescent="0.25">
      <c r="A11" t="s">
        <v>9</v>
      </c>
      <c r="B11">
        <v>17.61</v>
      </c>
      <c r="C11">
        <f t="shared" si="0"/>
        <v>54.5</v>
      </c>
      <c r="D11">
        <v>0.90500000000000003</v>
      </c>
      <c r="E11">
        <v>83.01</v>
      </c>
      <c r="F11">
        <v>17.916900630000001</v>
      </c>
      <c r="G11">
        <v>10.60540009</v>
      </c>
      <c r="H11">
        <v>14.26115036</v>
      </c>
      <c r="I11">
        <v>38353.601640000001</v>
      </c>
      <c r="J11">
        <v>56</v>
      </c>
      <c r="K11">
        <v>59</v>
      </c>
      <c r="L11">
        <v>53</v>
      </c>
      <c r="M11">
        <v>50</v>
      </c>
      <c r="N11">
        <v>43620.604061412298</v>
      </c>
      <c r="O11">
        <v>6.4031736148454099</v>
      </c>
      <c r="P11">
        <v>0.105799194264084</v>
      </c>
    </row>
    <row r="12" spans="1:16" x14ac:dyDescent="0.25">
      <c r="A12" t="s">
        <v>13</v>
      </c>
      <c r="B12">
        <v>11.09</v>
      </c>
      <c r="C12">
        <f t="shared" si="0"/>
        <v>51.25</v>
      </c>
      <c r="D12">
        <v>0.89500000000000002</v>
      </c>
      <c r="E12">
        <v>82.850200000000001</v>
      </c>
      <c r="F12">
        <v>16.22678947</v>
      </c>
      <c r="G12">
        <v>10.740110400000001</v>
      </c>
      <c r="H12">
        <v>13.483449934999999</v>
      </c>
      <c r="I12">
        <v>42839.514410000003</v>
      </c>
      <c r="J12">
        <v>53</v>
      </c>
      <c r="K12">
        <v>54</v>
      </c>
      <c r="L12">
        <v>50</v>
      </c>
      <c r="M12">
        <v>48</v>
      </c>
      <c r="N12">
        <v>49901.6121367429</v>
      </c>
      <c r="O12">
        <v>8.3102399077016997</v>
      </c>
      <c r="P12">
        <v>-0.51559999884444396</v>
      </c>
    </row>
    <row r="13" spans="1:16" x14ac:dyDescent="0.25">
      <c r="A13" t="s">
        <v>14</v>
      </c>
      <c r="B13">
        <v>12.46</v>
      </c>
      <c r="C13">
        <f t="shared" si="0"/>
        <v>57.25</v>
      </c>
      <c r="D13">
        <v>0.82199999999999995</v>
      </c>
      <c r="E13">
        <v>69.418999999999997</v>
      </c>
      <c r="F13">
        <v>15.76636982</v>
      </c>
      <c r="G13">
        <v>12.774288049999999</v>
      </c>
      <c r="H13">
        <v>14.270328934999998</v>
      </c>
      <c r="I13">
        <v>27166.30891</v>
      </c>
      <c r="J13">
        <v>60</v>
      </c>
      <c r="K13">
        <v>64</v>
      </c>
      <c r="L13">
        <v>53</v>
      </c>
      <c r="M13">
        <v>52</v>
      </c>
      <c r="N13">
        <v>38938.49609375</v>
      </c>
      <c r="O13">
        <v>5.6142903757834501</v>
      </c>
      <c r="P13">
        <v>-0.34372440988977099</v>
      </c>
    </row>
    <row r="14" spans="1:16" x14ac:dyDescent="0.25">
      <c r="A14" t="s">
        <v>0</v>
      </c>
      <c r="B14">
        <v>16.510000000000002</v>
      </c>
      <c r="C14">
        <f t="shared" si="0"/>
        <v>80.25</v>
      </c>
      <c r="D14">
        <v>0.76800000000000002</v>
      </c>
      <c r="E14">
        <v>78.210700000000003</v>
      </c>
      <c r="F14">
        <v>14.2361149</v>
      </c>
      <c r="G14">
        <v>7.6001184459999998</v>
      </c>
      <c r="H14">
        <v>10.918116673</v>
      </c>
      <c r="I14">
        <v>17504.399689999998</v>
      </c>
      <c r="J14">
        <v>80</v>
      </c>
      <c r="K14">
        <v>87</v>
      </c>
      <c r="L14">
        <v>78</v>
      </c>
      <c r="M14">
        <v>76</v>
      </c>
      <c r="N14">
        <v>20406.729658460499</v>
      </c>
      <c r="O14">
        <v>8.4484694168727703</v>
      </c>
      <c r="P14">
        <v>8.9252200041252602E-2</v>
      </c>
    </row>
    <row r="15" spans="1:16" x14ac:dyDescent="0.25">
      <c r="A15" t="s">
        <v>23</v>
      </c>
      <c r="B15">
        <v>100</v>
      </c>
      <c r="C15">
        <f t="shared" si="0"/>
        <v>39.25</v>
      </c>
      <c r="D15">
        <v>0.92100000000000004</v>
      </c>
      <c r="E15">
        <v>77.1982</v>
      </c>
      <c r="F15">
        <v>16.280979160000001</v>
      </c>
      <c r="G15">
        <v>13.683429719999999</v>
      </c>
      <c r="H15">
        <v>14.98220444</v>
      </c>
      <c r="I15">
        <v>64765.215089999998</v>
      </c>
      <c r="J15">
        <v>46</v>
      </c>
      <c r="K15">
        <v>41</v>
      </c>
      <c r="L15">
        <v>35</v>
      </c>
      <c r="M15">
        <v>35</v>
      </c>
      <c r="N15">
        <v>71055.876193830001</v>
      </c>
      <c r="O15">
        <v>5.8002061284573001</v>
      </c>
      <c r="P15">
        <v>0.157342694282194</v>
      </c>
    </row>
    <row r="16" spans="1:16" x14ac:dyDescent="0.25">
      <c r="A16" t="s">
        <v>17</v>
      </c>
      <c r="B16">
        <v>10.44</v>
      </c>
      <c r="C16">
        <f t="shared" si="0"/>
        <v>67</v>
      </c>
      <c r="D16">
        <v>0.80300000000000005</v>
      </c>
      <c r="E16">
        <v>74.883899999999997</v>
      </c>
      <c r="F16">
        <v>13.34304047</v>
      </c>
      <c r="G16">
        <v>10.645059590000001</v>
      </c>
      <c r="H16">
        <v>11.99405003</v>
      </c>
      <c r="I16">
        <v>26657.94355</v>
      </c>
      <c r="J16">
        <v>71</v>
      </c>
      <c r="K16">
        <v>71</v>
      </c>
      <c r="L16">
        <v>65</v>
      </c>
      <c r="M16">
        <v>61</v>
      </c>
      <c r="N16">
        <v>30456.092895174101</v>
      </c>
      <c r="O16">
        <v>3.2976410083183798</v>
      </c>
      <c r="P16">
        <v>1.11985399101</v>
      </c>
    </row>
    <row r="17" spans="1:16" x14ac:dyDescent="0.25">
      <c r="A17" t="s">
        <v>20</v>
      </c>
      <c r="B17">
        <v>8.4</v>
      </c>
      <c r="C17">
        <f t="shared" si="0"/>
        <v>57.25</v>
      </c>
      <c r="D17">
        <v>0.84199999999999997</v>
      </c>
      <c r="E17">
        <v>75.389899999999997</v>
      </c>
      <c r="F17">
        <v>17.874870300000001</v>
      </c>
      <c r="G17">
        <v>11.147269270000001</v>
      </c>
      <c r="H17">
        <v>14.511069785</v>
      </c>
      <c r="I17">
        <v>20925.26814</v>
      </c>
      <c r="J17">
        <v>60</v>
      </c>
      <c r="K17">
        <v>59</v>
      </c>
      <c r="L17">
        <v>55</v>
      </c>
      <c r="M17">
        <v>55</v>
      </c>
      <c r="N17">
        <v>26086.802355227399</v>
      </c>
      <c r="O17">
        <v>10.718009933709499</v>
      </c>
      <c r="P17">
        <v>0.94749095933398897</v>
      </c>
    </row>
    <row r="18" spans="1:16" x14ac:dyDescent="0.25">
      <c r="A18" t="s">
        <v>21</v>
      </c>
      <c r="B18">
        <v>8.49</v>
      </c>
      <c r="C18">
        <f t="shared" si="0"/>
        <v>66.75</v>
      </c>
      <c r="D18">
        <v>0.83799999999999997</v>
      </c>
      <c r="E18">
        <v>76.032399999999996</v>
      </c>
      <c r="F18">
        <v>18.3382206</v>
      </c>
      <c r="G18">
        <v>8.6331396100000006</v>
      </c>
      <c r="H18">
        <v>13.485680105</v>
      </c>
      <c r="I18">
        <v>31032.801060000002</v>
      </c>
      <c r="J18">
        <v>73</v>
      </c>
      <c r="K18">
        <v>71</v>
      </c>
      <c r="L18">
        <v>60</v>
      </c>
      <c r="M18">
        <v>63</v>
      </c>
      <c r="N18">
        <v>31637.530544461599</v>
      </c>
      <c r="O18">
        <v>11.4393847446421</v>
      </c>
      <c r="P18">
        <v>0.91044490256451105</v>
      </c>
    </row>
    <row r="19" spans="1:16" x14ac:dyDescent="0.25">
      <c r="A19" t="s">
        <v>15</v>
      </c>
      <c r="B19">
        <v>13.46</v>
      </c>
      <c r="C19">
        <f t="shared" si="0"/>
        <v>58.25</v>
      </c>
      <c r="D19">
        <v>0.754</v>
      </c>
      <c r="E19">
        <v>72.750399999999999</v>
      </c>
      <c r="F19">
        <v>15.599060059999999</v>
      </c>
      <c r="G19">
        <v>8.128813955</v>
      </c>
      <c r="H19">
        <v>11.863937007499999</v>
      </c>
      <c r="I19">
        <v>14369.88848</v>
      </c>
      <c r="J19">
        <v>61</v>
      </c>
      <c r="K19">
        <v>65</v>
      </c>
      <c r="L19">
        <v>57</v>
      </c>
      <c r="M19">
        <v>50</v>
      </c>
      <c r="N19">
        <v>17672.916803465501</v>
      </c>
      <c r="O19">
        <v>4.7626043790860804</v>
      </c>
      <c r="P19">
        <v>0.52859045291941598</v>
      </c>
    </row>
    <row r="20" spans="1:16" x14ac:dyDescent="0.25">
      <c r="A20" t="s">
        <v>31</v>
      </c>
      <c r="B20">
        <v>4.97</v>
      </c>
      <c r="C20">
        <f t="shared" si="0"/>
        <v>64.25</v>
      </c>
      <c r="D20">
        <v>0.752</v>
      </c>
      <c r="E20">
        <v>72.829599999999999</v>
      </c>
      <c r="F20">
        <v>14.44274998</v>
      </c>
      <c r="G20">
        <v>8.8628597259999999</v>
      </c>
      <c r="H20">
        <v>11.652804852999999</v>
      </c>
      <c r="I20">
        <v>14384.356659999999</v>
      </c>
      <c r="J20">
        <v>65</v>
      </c>
      <c r="K20">
        <v>71</v>
      </c>
      <c r="L20">
        <v>64</v>
      </c>
      <c r="M20">
        <v>57</v>
      </c>
      <c r="N20">
        <v>17587.2317932888</v>
      </c>
      <c r="O20">
        <v>10.801198190487799</v>
      </c>
      <c r="P20">
        <v>1.14382091580962</v>
      </c>
    </row>
    <row r="21" spans="1:16" x14ac:dyDescent="0.25">
      <c r="A21" t="s">
        <v>5</v>
      </c>
      <c r="B21">
        <v>25.43</v>
      </c>
      <c r="C21">
        <f t="shared" si="0"/>
        <v>42.25</v>
      </c>
      <c r="D21">
        <v>0.95099999999999996</v>
      </c>
      <c r="E21">
        <v>84.526499999999999</v>
      </c>
      <c r="F21">
        <v>21.054590229999999</v>
      </c>
      <c r="G21">
        <v>12.726819989999999</v>
      </c>
      <c r="H21">
        <v>16.890705109999999</v>
      </c>
      <c r="I21">
        <v>49238.433349999999</v>
      </c>
      <c r="J21">
        <v>50</v>
      </c>
      <c r="K21">
        <v>46</v>
      </c>
      <c r="L21">
        <v>37</v>
      </c>
      <c r="M21">
        <v>36</v>
      </c>
      <c r="N21">
        <v>57406.178760454903</v>
      </c>
      <c r="O21">
        <v>2.1118308892515101</v>
      </c>
      <c r="P21">
        <v>0.14089508329287001</v>
      </c>
    </row>
    <row r="22" spans="1:16" x14ac:dyDescent="0.25">
      <c r="A22" t="s">
        <v>1</v>
      </c>
      <c r="B22">
        <v>31.28</v>
      </c>
      <c r="C22">
        <f t="shared" si="0"/>
        <v>38.5</v>
      </c>
      <c r="D22">
        <v>0.93600000000000005</v>
      </c>
      <c r="E22">
        <v>82.656499999999994</v>
      </c>
      <c r="F22">
        <v>16.396259310000001</v>
      </c>
      <c r="G22">
        <v>13.83442722</v>
      </c>
      <c r="H22">
        <v>15.115343265</v>
      </c>
      <c r="I22">
        <v>46807.986190000003</v>
      </c>
      <c r="J22">
        <v>44</v>
      </c>
      <c r="K22">
        <v>44</v>
      </c>
      <c r="L22">
        <v>32</v>
      </c>
      <c r="M22">
        <v>34</v>
      </c>
      <c r="N22">
        <v>55781.699027291201</v>
      </c>
      <c r="O22">
        <v>5.2869568910588898</v>
      </c>
      <c r="P22">
        <v>0.55390242238689302</v>
      </c>
    </row>
    <row r="23" spans="1:16" x14ac:dyDescent="0.25">
      <c r="A23" t="s">
        <v>19</v>
      </c>
      <c r="B23">
        <v>10.56</v>
      </c>
      <c r="C23">
        <f t="shared" si="0"/>
        <v>64</v>
      </c>
      <c r="D23">
        <v>0.85499999999999998</v>
      </c>
      <c r="E23">
        <v>78.9435</v>
      </c>
      <c r="F23">
        <v>16.731300350000001</v>
      </c>
      <c r="G23">
        <v>10.934966299999999</v>
      </c>
      <c r="H23">
        <v>13.833133325</v>
      </c>
      <c r="I23">
        <v>24563.244859999999</v>
      </c>
      <c r="J23">
        <v>67</v>
      </c>
      <c r="K23">
        <v>70</v>
      </c>
      <c r="L23">
        <v>63</v>
      </c>
      <c r="M23">
        <v>56</v>
      </c>
      <c r="N23">
        <v>29050.080793877802</v>
      </c>
      <c r="O23">
        <v>11.333957069191101</v>
      </c>
      <c r="P23">
        <v>0.99434489841825902</v>
      </c>
    </row>
    <row r="24" spans="1:16" x14ac:dyDescent="0.25">
      <c r="A24" t="s">
        <v>3</v>
      </c>
      <c r="B24">
        <v>27.63</v>
      </c>
      <c r="C24">
        <f t="shared" si="0"/>
        <v>42</v>
      </c>
      <c r="D24">
        <v>0.94199999999999995</v>
      </c>
      <c r="E24">
        <v>80.630099999999999</v>
      </c>
      <c r="F24">
        <v>17.010139469999999</v>
      </c>
      <c r="G24">
        <v>14.090966910000001</v>
      </c>
      <c r="H24">
        <v>15.550553189999999</v>
      </c>
      <c r="I24">
        <v>54534.216820000001</v>
      </c>
      <c r="J24">
        <v>44</v>
      </c>
      <c r="K24">
        <v>45</v>
      </c>
      <c r="L24">
        <v>37</v>
      </c>
      <c r="M24">
        <v>42</v>
      </c>
      <c r="N24">
        <v>61939.6515850137</v>
      </c>
      <c r="O24">
        <v>3.16381994194575</v>
      </c>
      <c r="P24">
        <v>4.2327057255213699E-2</v>
      </c>
    </row>
    <row r="25" spans="1:16" x14ac:dyDescent="0.25">
      <c r="A25" t="s">
        <v>6</v>
      </c>
      <c r="B25">
        <v>15.18</v>
      </c>
      <c r="C25">
        <f t="shared" si="0"/>
        <v>46.5</v>
      </c>
      <c r="D25">
        <v>0.92500000000000004</v>
      </c>
      <c r="E25">
        <v>84.783900000000003</v>
      </c>
      <c r="F25">
        <v>15.221625879999999</v>
      </c>
      <c r="G25">
        <v>13.366100339999999</v>
      </c>
      <c r="H25">
        <v>14.29386311</v>
      </c>
      <c r="I25">
        <v>42274.291340000003</v>
      </c>
      <c r="J25">
        <v>53</v>
      </c>
      <c r="K25">
        <v>52</v>
      </c>
      <c r="L25">
        <v>42</v>
      </c>
      <c r="M25">
        <v>39</v>
      </c>
      <c r="N25">
        <v>44549.338341143397</v>
      </c>
      <c r="O25">
        <v>2.55932023865617</v>
      </c>
      <c r="P25">
        <v>-0.45995241580764201</v>
      </c>
    </row>
    <row r="26" spans="1:16" x14ac:dyDescent="0.25">
      <c r="A26" t="s">
        <v>18</v>
      </c>
      <c r="B26">
        <v>1.72</v>
      </c>
      <c r="C26">
        <f t="shared" si="0"/>
        <v>65.75</v>
      </c>
      <c r="D26">
        <v>0.75800000000000001</v>
      </c>
      <c r="E26">
        <v>70.212699999999998</v>
      </c>
      <c r="F26">
        <v>14.86</v>
      </c>
      <c r="G26">
        <v>9.2200000000000006</v>
      </c>
      <c r="H26">
        <v>12.04</v>
      </c>
      <c r="I26">
        <v>17896.29</v>
      </c>
      <c r="J26">
        <v>65</v>
      </c>
      <c r="K26">
        <v>73</v>
      </c>
      <c r="L26">
        <v>65</v>
      </c>
      <c r="M26">
        <v>60</v>
      </c>
      <c r="N26">
        <v>21131.915758253901</v>
      </c>
      <c r="O26">
        <v>5.7392083376831797</v>
      </c>
      <c r="P26">
        <v>0.55942083208543303</v>
      </c>
    </row>
    <row r="27" spans="1:16" x14ac:dyDescent="0.25">
      <c r="A27" t="s">
        <v>10</v>
      </c>
      <c r="B27">
        <v>4.49</v>
      </c>
      <c r="C27">
        <f t="shared" si="0"/>
        <v>77.25</v>
      </c>
      <c r="D27">
        <v>0.875</v>
      </c>
      <c r="E27">
        <v>76.936000000000007</v>
      </c>
      <c r="F27">
        <v>16.14</v>
      </c>
      <c r="G27">
        <v>11.31</v>
      </c>
      <c r="H27">
        <v>13.725000000000001</v>
      </c>
      <c r="I27">
        <v>46111.55</v>
      </c>
      <c r="J27">
        <v>80</v>
      </c>
      <c r="K27">
        <v>80</v>
      </c>
      <c r="L27">
        <v>76</v>
      </c>
      <c r="M27">
        <v>73</v>
      </c>
      <c r="N27">
        <v>47754.431452884099</v>
      </c>
      <c r="O27">
        <v>5.0751103498797896</v>
      </c>
      <c r="P27">
        <v>-0.129847471045763</v>
      </c>
    </row>
    <row r="28" spans="1:16" x14ac:dyDescent="0.25">
      <c r="A28" t="s">
        <v>22</v>
      </c>
      <c r="B28">
        <v>4.6100000000000003</v>
      </c>
      <c r="C28">
        <f t="shared" si="0"/>
        <v>63</v>
      </c>
      <c r="D28">
        <v>0.71299999999999997</v>
      </c>
      <c r="E28">
        <v>62.341000000000001</v>
      </c>
      <c r="F28">
        <v>13.64371014</v>
      </c>
      <c r="G28">
        <v>11.37316036</v>
      </c>
      <c r="H28">
        <v>12.50843525</v>
      </c>
      <c r="I28">
        <v>12948.373250000001</v>
      </c>
      <c r="J28">
        <v>72</v>
      </c>
      <c r="K28">
        <v>67</v>
      </c>
      <c r="L28">
        <v>57</v>
      </c>
      <c r="M28">
        <v>56</v>
      </c>
      <c r="N28">
        <v>14172.5442514653</v>
      </c>
      <c r="O28">
        <v>4.7030620648573098</v>
      </c>
      <c r="P28">
        <v>0.99892041856304403</v>
      </c>
    </row>
  </sheetData>
  <autoFilter ref="A1:P28" xr:uid="{556787DC-E4CF-491B-95B0-74E3EC1C9632}"/>
  <sortState xmlns:xlrd2="http://schemas.microsoft.com/office/spreadsheetml/2017/richdata2" ref="A2:M28">
    <sortCondition ref="B2:B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Tully</dc:creator>
  <cp:lastModifiedBy>Appel, Gil</cp:lastModifiedBy>
  <dcterms:created xsi:type="dcterms:W3CDTF">2023-04-18T19:15:20Z</dcterms:created>
  <dcterms:modified xsi:type="dcterms:W3CDTF">2024-10-16T14:14:59Z</dcterms:modified>
</cp:coreProperties>
</file>